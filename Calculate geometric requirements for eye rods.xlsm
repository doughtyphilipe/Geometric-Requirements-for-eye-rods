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hili\Documents\github_projects\Calculate geometric requirements for eye rods\"/>
    </mc:Choice>
  </mc:AlternateContent>
  <xr:revisionPtr revIDLastSave="0" documentId="13_ncr:1_{5CFFBA20-818E-41F4-A975-CEA380EC07EE}" xr6:coauthVersionLast="47" xr6:coauthVersionMax="47" xr10:uidLastSave="{00000000-0000-0000-0000-000000000000}"/>
  <bookViews>
    <workbookView xWindow="2268" yWindow="1068" windowWidth="17280" windowHeight="10512" activeTab="1" xr2:uid="{00000000-000D-0000-FFFF-FFFF00000000}"/>
  </bookViews>
  <sheets>
    <sheet name="Berechnung + Output" sheetId="2" r:id="rId1"/>
    <sheet name="Geometrische Anforderungen" sheetId="1" r:id="rId2"/>
  </sheets>
  <definedNames>
    <definedName name="a_1">'Geometrische Anforderungen'!$D$10</definedName>
    <definedName name="a_2">'Geometrische Anforderungen'!$D$14</definedName>
    <definedName name="b_1">'Geometrische Anforderungen'!$D$12</definedName>
    <definedName name="b_2">'Geometrische Anforderungen'!$D$16</definedName>
    <definedName name="c_1">'Geometrische Anforderungen'!$D$9</definedName>
    <definedName name="c_2">'Geometrische Anforderungen'!$D$13</definedName>
    <definedName name="d_1">'Geometrische Anforderungen'!$D$7</definedName>
    <definedName name="d_2">'Geometrische Anforderungen'!$D$8</definedName>
    <definedName name="Fed">'Geometrische Anforderungen'!$D$3</definedName>
    <definedName name="fy">'Geometrische Anforderungen'!$D$6</definedName>
    <definedName name="gamma1">'Geometrische Anforderungen'!$D$4</definedName>
    <definedName name="gamma2">'Geometrische Anforderungen'!$D$5</definedName>
    <definedName name="h_1">'Geometrische Anforderungen'!$D$11</definedName>
    <definedName name="h_2">'Geometrische Anforderungen'!$D$15</definedName>
    <definedName name="t">'Geometrische Anforderungen'!$D$2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 l="1"/>
  <c r="D3" i="1"/>
  <c r="D13" i="1" l="1"/>
  <c r="D16" i="1" s="1"/>
  <c r="D9" i="1"/>
  <c r="D12" i="1" s="1"/>
  <c r="D10" i="1"/>
  <c r="D11" i="1" s="1"/>
  <c r="D14" i="1"/>
  <c r="D15" i="1" s="1"/>
</calcChain>
</file>

<file path=xl/sharedStrings.xml><?xml version="1.0" encoding="utf-8"?>
<sst xmlns="http://schemas.openxmlformats.org/spreadsheetml/2006/main" count="50" uniqueCount="38">
  <si>
    <t>Parameter</t>
  </si>
  <si>
    <t>Bedeutung</t>
  </si>
  <si>
    <t>Einheit</t>
  </si>
  <si>
    <t>Wert</t>
  </si>
  <si>
    <t>t</t>
  </si>
  <si>
    <t>mm</t>
  </si>
  <si>
    <t>Fed</t>
  </si>
  <si>
    <t>N</t>
  </si>
  <si>
    <t>Blechdicke</t>
  </si>
  <si>
    <t>fy</t>
  </si>
  <si>
    <t>d1</t>
  </si>
  <si>
    <t>d2</t>
  </si>
  <si>
    <t>c1</t>
  </si>
  <si>
    <t>a1</t>
  </si>
  <si>
    <t>c2</t>
  </si>
  <si>
    <t>a2</t>
  </si>
  <si>
    <t>-</t>
  </si>
  <si>
    <t>γmo,1</t>
  </si>
  <si>
    <t>γmo,2</t>
  </si>
  <si>
    <t>N/mm^2</t>
  </si>
  <si>
    <t>Angenommen</t>
  </si>
  <si>
    <t>Durchmesser/2*Wanddicke</t>
  </si>
  <si>
    <t>Durchmesser Bohrung 1</t>
  </si>
  <si>
    <t>Durchmesser Bohrung 2</t>
  </si>
  <si>
    <t>Horizontaler Abstand 1</t>
  </si>
  <si>
    <t>Horizontaler Abstand 2</t>
  </si>
  <si>
    <t>Vertikaler Abstand 1</t>
  </si>
  <si>
    <t>Vertikaler Abstand 2</t>
  </si>
  <si>
    <t>max. Zugkraft auf eine Schraube</t>
  </si>
  <si>
    <t>Minimale Breite 1</t>
  </si>
  <si>
    <t>Minimale Höhe 1</t>
  </si>
  <si>
    <t>Minimale Höhe 2</t>
  </si>
  <si>
    <t>Minimale Breite 2</t>
  </si>
  <si>
    <t>h1</t>
  </si>
  <si>
    <t>h2</t>
  </si>
  <si>
    <t>b1</t>
  </si>
  <si>
    <t>b2</t>
  </si>
  <si>
    <t>Streckgrenze für S235JR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</si>
</sst>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7620</xdr:rowOff>
        </xdr:from>
        <xdr:to>
          <xdr:col>11</xdr:col>
          <xdr:colOff>449580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geometric requirements for eye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8</xdr:row>
          <xdr:rowOff>22860</xdr:rowOff>
        </xdr:from>
        <xdr:to>
          <xdr:col>11</xdr:col>
          <xdr:colOff>403860</xdr:colOff>
          <xdr:row>11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18</xdr:row>
      <xdr:rowOff>76200</xdr:rowOff>
    </xdr:from>
    <xdr:to>
      <xdr:col>7</xdr:col>
      <xdr:colOff>484731</xdr:colOff>
      <xdr:row>44</xdr:row>
      <xdr:rowOff>26463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3505200"/>
          <a:ext cx="6980781" cy="4903263"/>
        </a:xfrm>
        <a:prstGeom prst="rect">
          <a:avLst/>
        </a:prstGeom>
      </xdr:spPr>
    </xdr:pic>
    <xdr:clientData/>
  </xdr:twoCellAnchor>
  <xdr:twoCellAnchor editAs="oneCell">
    <xdr:from>
      <xdr:col>5</xdr:col>
      <xdr:colOff>324061</xdr:colOff>
      <xdr:row>1</xdr:row>
      <xdr:rowOff>161925</xdr:rowOff>
    </xdr:from>
    <xdr:to>
      <xdr:col>10</xdr:col>
      <xdr:colOff>332628</xdr:colOff>
      <xdr:row>14</xdr:row>
      <xdr:rowOff>145873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4686" y="352425"/>
          <a:ext cx="3818567" cy="2460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"/>
  <sheetViews>
    <sheetView workbookViewId="0">
      <selection activeCell="E13" sqref="E13"/>
    </sheetView>
  </sheetViews>
  <sheetFormatPr defaultColWidth="11.5546875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haltfläche1_Klicken">
                <anchor moveWithCells="1" sizeWithCells="1">
                  <from>
                    <xdr:col>8</xdr:col>
                    <xdr:colOff>7620</xdr:colOff>
                    <xdr:row>1</xdr:row>
                    <xdr:rowOff>7620</xdr:rowOff>
                  </from>
                  <to>
                    <xdr:col>11</xdr:col>
                    <xdr:colOff>449580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haltfläche2_Klicken">
                <anchor moveWithCells="1" sizeWithCells="1">
                  <from>
                    <xdr:col>8</xdr:col>
                    <xdr:colOff>45720</xdr:colOff>
                    <xdr:row>8</xdr:row>
                    <xdr:rowOff>22860</xdr:rowOff>
                  </from>
                  <to>
                    <xdr:col>11</xdr:col>
                    <xdr:colOff>403860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E16"/>
  <sheetViews>
    <sheetView tabSelected="1" workbookViewId="0">
      <selection activeCell="E7" sqref="E7"/>
    </sheetView>
  </sheetViews>
  <sheetFormatPr defaultColWidth="11.5546875" defaultRowHeight="14.4" x14ac:dyDescent="0.3"/>
  <cols>
    <col min="2" max="2" width="29.33203125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20</v>
      </c>
    </row>
    <row r="2" spans="1:5" x14ac:dyDescent="0.3">
      <c r="A2" t="s">
        <v>4</v>
      </c>
      <c r="B2" t="s">
        <v>8</v>
      </c>
      <c r="C2" t="s">
        <v>5</v>
      </c>
      <c r="D2">
        <v>8</v>
      </c>
    </row>
    <row r="3" spans="1:5" x14ac:dyDescent="0.3">
      <c r="A3" t="s">
        <v>6</v>
      </c>
      <c r="B3" t="s">
        <v>28</v>
      </c>
      <c r="C3" t="s">
        <v>7</v>
      </c>
      <c r="D3">
        <f>15*10^3</f>
        <v>15000</v>
      </c>
    </row>
    <row r="4" spans="1:5" x14ac:dyDescent="0.3">
      <c r="A4" s="2" t="s">
        <v>17</v>
      </c>
      <c r="B4" t="s">
        <v>21</v>
      </c>
      <c r="C4" t="s">
        <v>16</v>
      </c>
      <c r="D4">
        <f>d_1/t</f>
        <v>2.5</v>
      </c>
    </row>
    <row r="5" spans="1:5" x14ac:dyDescent="0.3">
      <c r="A5" s="2" t="s">
        <v>18</v>
      </c>
      <c r="B5" t="s">
        <v>21</v>
      </c>
      <c r="C5" t="s">
        <v>16</v>
      </c>
      <c r="D5">
        <f>d_2/t</f>
        <v>1.25</v>
      </c>
    </row>
    <row r="6" spans="1:5" x14ac:dyDescent="0.3">
      <c r="A6" s="2" t="s">
        <v>9</v>
      </c>
      <c r="B6" t="s">
        <v>37</v>
      </c>
      <c r="C6" t="s">
        <v>19</v>
      </c>
      <c r="D6">
        <v>235</v>
      </c>
    </row>
    <row r="7" spans="1:5" x14ac:dyDescent="0.3">
      <c r="A7" s="2" t="s">
        <v>10</v>
      </c>
      <c r="B7" t="s">
        <v>22</v>
      </c>
      <c r="C7" t="s">
        <v>5</v>
      </c>
      <c r="D7">
        <v>20</v>
      </c>
    </row>
    <row r="8" spans="1:5" x14ac:dyDescent="0.3">
      <c r="A8" s="2" t="s">
        <v>11</v>
      </c>
      <c r="B8" t="s">
        <v>23</v>
      </c>
      <c r="C8" t="s">
        <v>5</v>
      </c>
      <c r="D8">
        <v>10</v>
      </c>
    </row>
    <row r="9" spans="1:5" x14ac:dyDescent="0.3">
      <c r="A9" s="2" t="s">
        <v>12</v>
      </c>
      <c r="B9" t="s">
        <v>24</v>
      </c>
      <c r="C9" t="s">
        <v>5</v>
      </c>
      <c r="D9">
        <f>(Fed*gamma1)/(2*t*fy)+d_1/3</f>
        <v>16.640070921985817</v>
      </c>
    </row>
    <row r="10" spans="1:5" x14ac:dyDescent="0.3">
      <c r="A10" s="2" t="s">
        <v>13</v>
      </c>
      <c r="B10" t="s">
        <v>26</v>
      </c>
      <c r="C10" t="s">
        <v>5</v>
      </c>
      <c r="D10">
        <f>(Fed*gamma1)/(2*t*fy)+2*d_1/3</f>
        <v>23.306737588652481</v>
      </c>
    </row>
    <row r="11" spans="1:5" x14ac:dyDescent="0.3">
      <c r="A11" s="2" t="s">
        <v>33</v>
      </c>
      <c r="B11" t="s">
        <v>30</v>
      </c>
      <c r="C11" t="s">
        <v>5</v>
      </c>
      <c r="D11">
        <f>d_1+a_1*2</f>
        <v>66.613475177304963</v>
      </c>
      <c r="E11">
        <v>70</v>
      </c>
    </row>
    <row r="12" spans="1:5" x14ac:dyDescent="0.3">
      <c r="A12" s="2" t="s">
        <v>35</v>
      </c>
      <c r="B12" t="s">
        <v>29</v>
      </c>
      <c r="C12" t="s">
        <v>5</v>
      </c>
      <c r="D12">
        <f>d_1+2*c_1</f>
        <v>53.280141843971634</v>
      </c>
      <c r="E12">
        <v>60</v>
      </c>
    </row>
    <row r="13" spans="1:5" x14ac:dyDescent="0.3">
      <c r="A13" s="2" t="s">
        <v>14</v>
      </c>
      <c r="B13" t="s">
        <v>25</v>
      </c>
      <c r="C13" t="s">
        <v>5</v>
      </c>
      <c r="D13">
        <f>(Fed*gamma2)/(2*t*fy)+d_2/3</f>
        <v>8.3200354609929086</v>
      </c>
    </row>
    <row r="14" spans="1:5" x14ac:dyDescent="0.3">
      <c r="A14" s="2" t="s">
        <v>15</v>
      </c>
      <c r="B14" t="s">
        <v>27</v>
      </c>
      <c r="C14" t="s">
        <v>5</v>
      </c>
      <c r="D14">
        <f>(Fed*gamma2)/(2*t*fy)+2*d_2/3</f>
        <v>11.653368794326241</v>
      </c>
    </row>
    <row r="15" spans="1:5" x14ac:dyDescent="0.3">
      <c r="A15" s="2" t="s">
        <v>34</v>
      </c>
      <c r="B15" t="s">
        <v>31</v>
      </c>
      <c r="C15" t="s">
        <v>5</v>
      </c>
      <c r="D15">
        <f>d_2+a_2*2</f>
        <v>33.306737588652481</v>
      </c>
      <c r="E15">
        <v>50</v>
      </c>
    </row>
    <row r="16" spans="1:5" x14ac:dyDescent="0.3">
      <c r="A16" s="2" t="s">
        <v>36</v>
      </c>
      <c r="B16" t="s">
        <v>32</v>
      </c>
      <c r="C16" t="s">
        <v>5</v>
      </c>
      <c r="D16">
        <f>d_2+c_2*2</f>
        <v>26.640070921985817</v>
      </c>
      <c r="E16">
        <v>30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Berechnung + Output</vt:lpstr>
      <vt:lpstr>Geometrische Anforderungen</vt:lpstr>
      <vt:lpstr>a_1</vt:lpstr>
      <vt:lpstr>a_2</vt:lpstr>
      <vt:lpstr>b_1</vt:lpstr>
      <vt:lpstr>b_2</vt:lpstr>
      <vt:lpstr>c_1</vt:lpstr>
      <vt:lpstr>c_2</vt:lpstr>
      <vt:lpstr>d_1</vt:lpstr>
      <vt:lpstr>d_2</vt:lpstr>
      <vt:lpstr>Fed</vt:lpstr>
      <vt:lpstr>fy</vt:lpstr>
      <vt:lpstr>gamma1</vt:lpstr>
      <vt:lpstr>gamma2</vt:lpstr>
      <vt:lpstr>h_1</vt:lpstr>
      <vt:lpstr>h_2</vt:lpstr>
      <vt:lpstr>t</vt:lpstr>
    </vt:vector>
  </TitlesOfParts>
  <Company>ThyssenKrupp Elevator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Philipe Ferraz Doughty</dc:creator>
  <cp:lastModifiedBy>Philipe Doughty</cp:lastModifiedBy>
  <dcterms:created xsi:type="dcterms:W3CDTF">2021-09-16T11:09:44Z</dcterms:created>
  <dcterms:modified xsi:type="dcterms:W3CDTF">2023-03-26T21:44:12Z</dcterms:modified>
</cp:coreProperties>
</file>